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 Tracker" sheetId="1" state="visible" r:id="rId3"/>
    <sheet name="Stage Summary" sheetId="2" state="visible" r:id="rId4"/>
    <sheet name="RACI Matrix" sheetId="3" state="visible" r:id="rId5"/>
    <sheet name="Risk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<sst xmlns="http://schemas.openxmlformats.org/spreadsheetml/2006/main" count="306" uniqueCount="157">
  <si>
    <t xml:space="preserve">DATA PIPELINE PROJECT TRACKER</t>
  </si>
  <si>
    <t xml:space="preserve">Stage</t>
  </si>
  <si>
    <t xml:space="preserve">Sub-Task</t>
  </si>
  <si>
    <t xml:space="preserve">Description</t>
  </si>
  <si>
    <t xml:space="preserve">Owner</t>
  </si>
  <si>
    <t xml:space="preserve">Status</t>
  </si>
  <si>
    <t xml:space="preserve">Priority</t>
  </si>
  <si>
    <t xml:space="preserve">Start Date</t>
  </si>
  <si>
    <t xml:space="preserve">Due Date</t>
  </si>
  <si>
    <t xml:space="preserve">% Complete</t>
  </si>
  <si>
    <t xml:space="preserve">Dependencies</t>
  </si>
  <si>
    <t xml:space="preserve">Deliverable</t>
  </si>
  <si>
    <t xml:space="preserve">Notes / Risks</t>
  </si>
  <si>
    <t xml:space="preserve">1. Data</t>
  </si>
  <si>
    <t xml:space="preserve">Data Source Identification</t>
  </si>
  <si>
    <t xml:space="preserve">Identify all candidate data sources (internal, vendor, public)</t>
  </si>
  <si>
    <t xml:space="preserve">Not Started</t>
  </si>
  <si>
    <t xml:space="preserve">High</t>
  </si>
  <si>
    <t xml:space="preserve">Source inventory list</t>
  </si>
  <si>
    <t xml:space="preserve">Legal vs Not-Legal Assessment</t>
  </si>
  <si>
    <t xml:space="preserve">Classify each source: permissible use, licensing, PII constraints</t>
  </si>
  <si>
    <t xml:space="preserve">Legal clearance matrix</t>
  </si>
  <si>
    <t xml:space="preserve">Engage Legal/Compliance early</t>
  </si>
  <si>
    <t xml:space="preserve">Date Range Definition</t>
  </si>
  <si>
    <t xml:space="preserve">Define observation window, backfill periods, and vintage dates</t>
  </si>
  <si>
    <t xml:space="preserve">Date range spec doc</t>
  </si>
  <si>
    <t xml:space="preserve">Align with benchmark calendar</t>
  </si>
  <si>
    <t xml:space="preserve">Data Ingestion &amp; Storage</t>
  </si>
  <si>
    <t xml:space="preserve">Load raw data into staging environment; validate schema</t>
  </si>
  <si>
    <t xml:space="preserve">Medium</t>
  </si>
  <si>
    <t xml:space="preserve">Staged dataset</t>
  </si>
  <si>
    <t xml:space="preserve">2. Sampling</t>
  </si>
  <si>
    <t xml:space="preserve">Simple vs Panel Decision</t>
  </si>
  <si>
    <t xml:space="preserve">Decide sampling methodology — cross-sectional (simple) or longitudinal (panel)</t>
  </si>
  <si>
    <t xml:space="preserve">Data stage complete</t>
  </si>
  <si>
    <t xml:space="preserve">Sampling design memo</t>
  </si>
  <si>
    <t xml:space="preserve">Sample Size Calculation</t>
  </si>
  <si>
    <t xml:space="preserve">Power analysis / minimum sample thresholds per stratum</t>
  </si>
  <si>
    <t xml:space="preserve">Sample size table</t>
  </si>
  <si>
    <t xml:space="preserve">Panel Construction</t>
  </si>
  <si>
    <t xml:space="preserve">If panel: define entity IDs, entry/exit rules, rebalance frequency</t>
  </si>
  <si>
    <t xml:space="preserve">Simple vs Panel decided</t>
  </si>
  <si>
    <t xml:space="preserve">Panel spec document</t>
  </si>
  <si>
    <t xml:space="preserve">Survivorship bias check</t>
  </si>
  <si>
    <t xml:space="preserve">Sampling Validation</t>
  </si>
  <si>
    <t xml:space="preserve">Verify representativeness; compare sample vs population distributions</t>
  </si>
  <si>
    <t xml:space="preserve">Validation report</t>
  </si>
  <si>
    <t xml:space="preserve">3. Inclusion Criteria</t>
  </si>
  <si>
    <t xml:space="preserve">Floor &amp; Ceiling Filters</t>
  </si>
  <si>
    <t xml:space="preserve">Set min/max thresholds (AUM, market cap, revenue, etc.)</t>
  </si>
  <si>
    <t xml:space="preserve">Sampling complete</t>
  </si>
  <si>
    <t xml:space="preserve">Filter rule set</t>
  </si>
  <si>
    <t xml:space="preserve">Document rationale for each cutoff</t>
  </si>
  <si>
    <t xml:space="preserve">Essentials Screen</t>
  </si>
  <si>
    <t xml:space="preserve">Define must-have attributes (coverage, history length, quality score)</t>
  </si>
  <si>
    <t xml:space="preserve">Essentials checklist</t>
  </si>
  <si>
    <t xml:space="preserve">Super Panel / Panel Classification</t>
  </si>
  <si>
    <t xml:space="preserve">Tier entities into Super Panel (highest quality) vs standard Panel</t>
  </si>
  <si>
    <t xml:space="preserve">Tiered entity list</t>
  </si>
  <si>
    <t xml:space="preserve">Min / Max / Mean / Median Analysis</t>
  </si>
  <si>
    <t xml:space="preserve">Compute summary stats on filtered universe; flag outliers</t>
  </si>
  <si>
    <t xml:space="preserve">Summary stats table</t>
  </si>
  <si>
    <t xml:space="preserve">4. EDA</t>
  </si>
  <si>
    <t xml:space="preserve">Strata Analysis</t>
  </si>
  <si>
    <t xml:space="preserve">Segment data by key dimensions (sector, geography, size band)</t>
  </si>
  <si>
    <t xml:space="preserve">Inclusion criteria finalized</t>
  </si>
  <si>
    <t xml:space="preserve">Strata distribution charts</t>
  </si>
  <si>
    <t xml:space="preserve">Survey / Jobs / Macro Data Review</t>
  </si>
  <si>
    <t xml:space="preserve">Cross-reference with external survey, employment, or macro datasets</t>
  </si>
  <si>
    <t xml:space="preserve">Cross-reference summary</t>
  </si>
  <si>
    <t xml:space="preserve">Time Series Exploration</t>
  </si>
  <si>
    <t xml:space="preserve">Analyze trends, seasonality, structural breaks across the panel</t>
  </si>
  <si>
    <t xml:space="preserve">Time series plots &amp; stats</t>
  </si>
  <si>
    <t xml:space="preserve">Check for non-stationarity</t>
  </si>
  <si>
    <t xml:space="preserve">Missing Data &amp; Outlier Treatment</t>
  </si>
  <si>
    <t xml:space="preserve">Imputation strategy, winsorization, or exclusion rules</t>
  </si>
  <si>
    <t xml:space="preserve">Data quality report</t>
  </si>
  <si>
    <t xml:space="preserve">5. Benchmarks</t>
  </si>
  <si>
    <t xml:space="preserve">SPICE / Custom Benchmark Design</t>
  </si>
  <si>
    <t xml:space="preserve">Select or construct benchmark (index, peer group, composite)</t>
  </si>
  <si>
    <t xml:space="preserve">EDA complete</t>
  </si>
  <si>
    <t xml:space="preserve">Benchmark definition doc</t>
  </si>
  <si>
    <t xml:space="preserve">Clarify SPICE methodology</t>
  </si>
  <si>
    <t xml:space="preserve">Sort-Based Analysis</t>
  </si>
  <si>
    <t xml:space="preserve">Rank entities by key metric; form quintiles/deciles</t>
  </si>
  <si>
    <t xml:space="preserve">Sort tables &amp; spread analysis</t>
  </si>
  <si>
    <t xml:space="preserve">Correlation Analysis</t>
  </si>
  <si>
    <t xml:space="preserve">Compute cross-sectional and time-series correlations</t>
  </si>
  <si>
    <t xml:space="preserve">Correlation matrix / heatmaps</t>
  </si>
  <si>
    <t xml:space="preserve">Other Benchmark Comparisons</t>
  </si>
  <si>
    <t xml:space="preserve">Compare against additional external or internal benchmarks</t>
  </si>
  <si>
    <t xml:space="preserve">Low</t>
  </si>
  <si>
    <t xml:space="preserve">Comparison tables</t>
  </si>
  <si>
    <t xml:space="preserve">6. Reporting</t>
  </si>
  <si>
    <t xml:space="preserve">Index Construction</t>
  </si>
  <si>
    <t xml:space="preserve">Build reportable index from benchmarked data; define methodology</t>
  </si>
  <si>
    <t xml:space="preserve">Benchmarks complete</t>
  </si>
  <si>
    <t xml:space="preserve">Index methodology doc</t>
  </si>
  <si>
    <t xml:space="preserve">Draft Report</t>
  </si>
  <si>
    <t xml:space="preserve">Author narrative report with findings, charts, and recommendations</t>
  </si>
  <si>
    <t xml:space="preserve">Draft report (Word/PDF)</t>
  </si>
  <si>
    <t xml:space="preserve">Comparison / Attribution</t>
  </si>
  <si>
    <t xml:space="preserve">Performance attribution vs benchmark; relative analysis</t>
  </si>
  <si>
    <t xml:space="preserve">Attribution tables</t>
  </si>
  <si>
    <t xml:space="preserve">Insights &amp; Commentary</t>
  </si>
  <si>
    <t xml:space="preserve">Executive-level insights, forward-looking implications</t>
  </si>
  <si>
    <t xml:space="preserve">Insights one-pager</t>
  </si>
  <si>
    <t xml:space="preserve">7. Sign-Off</t>
  </si>
  <si>
    <t xml:space="preserve">Internal Review</t>
  </si>
  <si>
    <t xml:space="preserve">Circulate draft to stakeholders for review and feedback</t>
  </si>
  <si>
    <t xml:space="preserve">Draft report complete</t>
  </si>
  <si>
    <t xml:space="preserve">Review comments log</t>
  </si>
  <si>
    <t xml:space="preserve">Final Approval &amp; Distribution</t>
  </si>
  <si>
    <t xml:space="preserve">Obtain sign-off; publish or distribute final deliverable</t>
  </si>
  <si>
    <t xml:space="preserve">Internal review complete</t>
  </si>
  <si>
    <t xml:space="preserve">Signed-off final report</t>
  </si>
  <si>
    <t xml:space="preserve">OVERALL PROGRESS</t>
  </si>
  <si>
    <t xml:space="preserve">STAGE SUMMARY DASHBOARD</t>
  </si>
  <si>
    <t xml:space="preserve">Total Tasks</t>
  </si>
  <si>
    <t xml:space="preserve">In Progress</t>
  </si>
  <si>
    <t xml:space="preserve">Complete</t>
  </si>
  <si>
    <t xml:space="preserve">Blocked</t>
  </si>
  <si>
    <t xml:space="preserve">Completion %</t>
  </si>
  <si>
    <t xml:space="preserve">TOTAL</t>
  </si>
  <si>
    <t xml:space="preserve">RACI RESPONSIBILITY MATRIX</t>
  </si>
  <si>
    <t xml:space="preserve">Data Eng</t>
  </si>
  <si>
    <t xml:space="preserve">Data Science</t>
  </si>
  <si>
    <t xml:space="preserve">Quant / Research</t>
  </si>
  <si>
    <t xml:space="preserve">Legal / Compliance</t>
  </si>
  <si>
    <t xml:space="preserve">Product Owner</t>
  </si>
  <si>
    <t xml:space="preserve">Exec Sponsor</t>
  </si>
  <si>
    <t xml:space="preserve">RISK &amp; ISSUE LOG</t>
  </si>
  <si>
    <t xml:space="preserve">Risk ID</t>
  </si>
  <si>
    <t xml:space="preserve">Related Stage</t>
  </si>
  <si>
    <t xml:space="preserve">Risk Description</t>
  </si>
  <si>
    <t xml:space="preserve">Likelihood</t>
  </si>
  <si>
    <t xml:space="preserve">Impact</t>
  </si>
  <si>
    <t xml:space="preserve">Risk Score</t>
  </si>
  <si>
    <t xml:space="preserve">Mitigation Plan</t>
  </si>
  <si>
    <t xml:space="preserve">R-001</t>
  </si>
  <si>
    <t xml:space="preserve">Data sources may have unresolved licensing/PII issues</t>
  </si>
  <si>
    <t xml:space="preserve">Engage Legal in week 1; maintain clearance matrix</t>
  </si>
  <si>
    <t xml:space="preserve">R-002</t>
  </si>
  <si>
    <t xml:space="preserve">Survivorship bias in panel construction</t>
  </si>
  <si>
    <t xml:space="preserve">Backtest panel entry/exit rules against full history</t>
  </si>
  <si>
    <t xml:space="preserve">R-003</t>
  </si>
  <si>
    <t xml:space="preserve">Arbitrary floor/ceiling cutoffs bias results</t>
  </si>
  <si>
    <t xml:space="preserve">Document rationale; run sensitivity analysis on cutoffs</t>
  </si>
  <si>
    <t xml:space="preserve">R-004</t>
  </si>
  <si>
    <t xml:space="preserve">Non-stationarity in time series invalidates analysis</t>
  </si>
  <si>
    <t xml:space="preserve">Apply unit root tests; use differenced series if needed</t>
  </si>
  <si>
    <t xml:space="preserve">R-005</t>
  </si>
  <si>
    <t xml:space="preserve">SPICE benchmark methodology unclear or contested</t>
  </si>
  <si>
    <t xml:space="preserve">Define methodology doc; get stakeholder buy-in early</t>
  </si>
  <si>
    <t xml:space="preserve">R-006</t>
  </si>
  <si>
    <t xml:space="preserve">Report findings misinterpreted without proper context</t>
  </si>
  <si>
    <t xml:space="preserve">Include methodology appendix; executive summary upfront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</si>
</sst>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86A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A23B72"/>
      <name val="Arial"/>
      <family val="0"/>
      <charset val="1"/>
    </font>
    <font>
      <b val="true"/>
      <sz val="10"/>
      <color rgb="FFF18F01"/>
      <name val="Arial"/>
      <family val="0"/>
      <charset val="1"/>
    </font>
    <font>
      <b val="true"/>
      <sz val="10"/>
      <color rgb="FFC73E1D"/>
      <name val="Arial"/>
      <family val="0"/>
      <charset val="1"/>
    </font>
    <font>
      <b val="true"/>
      <sz val="10"/>
      <color rgb="FF3B1F2B"/>
      <name val="Arial"/>
      <family val="0"/>
      <charset val="1"/>
    </font>
    <font>
      <b val="true"/>
      <sz val="10"/>
      <color rgb="FF44803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3B1F2B"/>
      </patternFill>
    </fill>
    <fill>
      <patternFill patternType="solid">
        <fgColor rgb="FF34495E"/>
        <bgColor rgb="FF1B2A4A"/>
      </patternFill>
    </fill>
    <fill>
      <patternFill patternType="solid">
        <fgColor rgb="FFD6EEF8"/>
        <bgColor rgb="FFD5E8D4"/>
      </patternFill>
    </fill>
    <fill>
      <patternFill patternType="solid">
        <fgColor rgb="FFF5D5E8"/>
        <bgColor rgb="FFF8D5CC"/>
      </patternFill>
    </fill>
    <fill>
      <patternFill patternType="solid">
        <fgColor rgb="FFFDE8CC"/>
        <bgColor rgb="FFF8D5CC"/>
      </patternFill>
    </fill>
    <fill>
      <patternFill patternType="solid">
        <fgColor rgb="FFF8D5CC"/>
        <bgColor rgb="FFF5D5E8"/>
      </patternFill>
    </fill>
    <fill>
      <patternFill patternType="solid">
        <fgColor rgb="FFE0D3E5"/>
        <bgColor rgb="FFD6DBDF"/>
      </patternFill>
    </fill>
    <fill>
      <patternFill patternType="solid">
        <fgColor rgb="FFD5E8D4"/>
        <bgColor rgb="FFD6DBDF"/>
      </patternFill>
    </fill>
    <fill>
      <patternFill patternType="solid">
        <fgColor rgb="FFD6DBDF"/>
        <bgColor rgb="FFE0D3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FBFBF"/>
      <rgbColor rgb="FF808080"/>
      <rgbColor rgb="FF9999FF"/>
      <rgbColor rgb="FFA23B72"/>
      <rgbColor rgb="FFFDE8CC"/>
      <rgbColor rgb="FFD6EEF8"/>
      <rgbColor rgb="FF660066"/>
      <rgbColor rgb="FFFF8080"/>
      <rgbColor rgb="FF0066CC"/>
      <rgbColor rgb="FFE0D3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BDF"/>
      <rgbColor rgb="FFD5E8D4"/>
      <rgbColor rgb="FFF5D5E8"/>
      <rgbColor rgb="FF99CCFF"/>
      <rgbColor rgb="FFFF99CC"/>
      <rgbColor rgb="FFCC99FF"/>
      <rgbColor rgb="FFF8D5CC"/>
      <rgbColor rgb="FF3366FF"/>
      <rgbColor rgb="FF33CCCC"/>
      <rgbColor rgb="FF99CC00"/>
      <rgbColor rgb="FFFFCC00"/>
      <rgbColor rgb="FFF18F01"/>
      <rgbColor rgb="FFFF6600"/>
      <rgbColor rgb="FF666699"/>
      <rgbColor rgb="FF969696"/>
      <rgbColor rgb="FF1B2A4A"/>
      <rgbColor rgb="FF44803F"/>
      <rgbColor rgb="FF003300"/>
      <rgbColor rgb="FF333300"/>
      <rgbColor rgb="FFC73E1D"/>
      <rgbColor rgb="FF993366"/>
      <rgbColor rgb="FF34495E"/>
      <rgbColor rgb="FF3B1F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24"/>
    <col collapsed="false" customWidth="true" hidden="false" outlineLevel="0" max="12" min="12" style="0" width="3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31.5" hidden="false" customHeight="true" outlineLevel="0" collapsed="false">
      <c r="A3" s="3" t="s">
        <v>13</v>
      </c>
      <c r="B3" s="4" t="s">
        <v>14</v>
      </c>
      <c r="C3" s="4" t="s">
        <v>15</v>
      </c>
      <c r="D3" s="4"/>
      <c r="E3" s="5" t="s">
        <v>16</v>
      </c>
      <c r="F3" s="5" t="s">
        <v>17</v>
      </c>
      <c r="G3" s="4"/>
      <c r="H3" s="4"/>
      <c r="I3" s="6" t="n">
        <v>0</v>
      </c>
      <c r="J3" s="4"/>
      <c r="K3" s="4" t="s">
        <v>18</v>
      </c>
      <c r="L3" s="4"/>
    </row>
    <row r="4" customFormat="false" ht="31.5" hidden="false" customHeight="true" outlineLevel="0" collapsed="false">
      <c r="A4" s="3" t="s">
        <v>13</v>
      </c>
      <c r="B4" s="4" t="s">
        <v>19</v>
      </c>
      <c r="C4" s="4" t="s">
        <v>20</v>
      </c>
      <c r="D4" s="4"/>
      <c r="E4" s="5" t="s">
        <v>16</v>
      </c>
      <c r="F4" s="5" t="s">
        <v>17</v>
      </c>
      <c r="G4" s="4"/>
      <c r="H4" s="4"/>
      <c r="I4" s="6" t="n">
        <v>0</v>
      </c>
      <c r="J4" s="4"/>
      <c r="K4" s="4" t="s">
        <v>21</v>
      </c>
      <c r="L4" s="4" t="s">
        <v>22</v>
      </c>
    </row>
    <row r="5" customFormat="false" ht="31.5" hidden="false" customHeight="true" outlineLevel="0" collapsed="false">
      <c r="A5" s="3" t="s">
        <v>13</v>
      </c>
      <c r="B5" s="4" t="s">
        <v>23</v>
      </c>
      <c r="C5" s="4" t="s">
        <v>24</v>
      </c>
      <c r="D5" s="4"/>
      <c r="E5" s="5" t="s">
        <v>16</v>
      </c>
      <c r="F5" s="5" t="s">
        <v>17</v>
      </c>
      <c r="G5" s="4"/>
      <c r="H5" s="4"/>
      <c r="I5" s="6" t="n">
        <v>0</v>
      </c>
      <c r="J5" s="4"/>
      <c r="K5" s="4" t="s">
        <v>25</v>
      </c>
      <c r="L5" s="4" t="s">
        <v>26</v>
      </c>
    </row>
    <row r="6" customFormat="false" ht="31.5" hidden="false" customHeight="true" outlineLevel="0" collapsed="false">
      <c r="A6" s="3" t="s">
        <v>13</v>
      </c>
      <c r="B6" s="4" t="s">
        <v>27</v>
      </c>
      <c r="C6" s="4" t="s">
        <v>28</v>
      </c>
      <c r="D6" s="4"/>
      <c r="E6" s="5" t="s">
        <v>16</v>
      </c>
      <c r="F6" s="5" t="s">
        <v>29</v>
      </c>
      <c r="G6" s="4"/>
      <c r="H6" s="4"/>
      <c r="I6" s="6" t="n">
        <v>0</v>
      </c>
      <c r="J6" s="4"/>
      <c r="K6" s="4" t="s">
        <v>30</v>
      </c>
      <c r="L6" s="4"/>
    </row>
    <row r="7" customFormat="false" ht="31.5" hidden="false" customHeight="true" outlineLevel="0" collapsed="false">
      <c r="A7" s="7" t="s">
        <v>31</v>
      </c>
      <c r="B7" s="8" t="s">
        <v>32</v>
      </c>
      <c r="C7" s="8" t="s">
        <v>33</v>
      </c>
      <c r="D7" s="8"/>
      <c r="E7" s="9" t="s">
        <v>16</v>
      </c>
      <c r="F7" s="9" t="s">
        <v>17</v>
      </c>
      <c r="G7" s="8"/>
      <c r="H7" s="8"/>
      <c r="I7" s="10" t="n">
        <v>0</v>
      </c>
      <c r="J7" s="8" t="s">
        <v>34</v>
      </c>
      <c r="K7" s="8" t="s">
        <v>35</v>
      </c>
      <c r="L7" s="8"/>
    </row>
    <row r="8" customFormat="false" ht="31.5" hidden="false" customHeight="true" outlineLevel="0" collapsed="false">
      <c r="A8" s="7" t="s">
        <v>31</v>
      </c>
      <c r="B8" s="8" t="s">
        <v>36</v>
      </c>
      <c r="C8" s="8" t="s">
        <v>37</v>
      </c>
      <c r="D8" s="8"/>
      <c r="E8" s="9" t="s">
        <v>16</v>
      </c>
      <c r="F8" s="9" t="s">
        <v>17</v>
      </c>
      <c r="G8" s="8"/>
      <c r="H8" s="8"/>
      <c r="I8" s="10" t="n">
        <v>0</v>
      </c>
      <c r="J8" s="8"/>
      <c r="K8" s="8" t="s">
        <v>38</v>
      </c>
      <c r="L8" s="8"/>
    </row>
    <row r="9" customFormat="false" ht="31.5" hidden="false" customHeight="true" outlineLevel="0" collapsed="false">
      <c r="A9" s="7" t="s">
        <v>31</v>
      </c>
      <c r="B9" s="8" t="s">
        <v>39</v>
      </c>
      <c r="C9" s="8" t="s">
        <v>40</v>
      </c>
      <c r="D9" s="8"/>
      <c r="E9" s="9" t="s">
        <v>16</v>
      </c>
      <c r="F9" s="9" t="s">
        <v>29</v>
      </c>
      <c r="G9" s="8"/>
      <c r="H9" s="8"/>
      <c r="I9" s="10" t="n">
        <v>0</v>
      </c>
      <c r="J9" s="8" t="s">
        <v>41</v>
      </c>
      <c r="K9" s="8" t="s">
        <v>42</v>
      </c>
      <c r="L9" s="8" t="s">
        <v>43</v>
      </c>
    </row>
    <row r="10" customFormat="false" ht="31.5" hidden="false" customHeight="true" outlineLevel="0" collapsed="false">
      <c r="A10" s="7" t="s">
        <v>31</v>
      </c>
      <c r="B10" s="8" t="s">
        <v>44</v>
      </c>
      <c r="C10" s="8" t="s">
        <v>45</v>
      </c>
      <c r="D10" s="8"/>
      <c r="E10" s="9" t="s">
        <v>16</v>
      </c>
      <c r="F10" s="9" t="s">
        <v>29</v>
      </c>
      <c r="G10" s="8"/>
      <c r="H10" s="8"/>
      <c r="I10" s="10" t="n">
        <v>0</v>
      </c>
      <c r="J10" s="8"/>
      <c r="K10" s="8" t="s">
        <v>46</v>
      </c>
      <c r="L10" s="8"/>
    </row>
    <row r="11" customFormat="false" ht="31.5" hidden="false" customHeight="true" outlineLevel="0" collapsed="false">
      <c r="A11" s="11" t="s">
        <v>47</v>
      </c>
      <c r="B11" s="12" t="s">
        <v>48</v>
      </c>
      <c r="C11" s="12" t="s">
        <v>49</v>
      </c>
      <c r="D11" s="12"/>
      <c r="E11" s="13" t="s">
        <v>16</v>
      </c>
      <c r="F11" s="13" t="s">
        <v>17</v>
      </c>
      <c r="G11" s="12"/>
      <c r="H11" s="12"/>
      <c r="I11" s="14" t="n">
        <v>0</v>
      </c>
      <c r="J11" s="12" t="s">
        <v>50</v>
      </c>
      <c r="K11" s="12" t="s">
        <v>51</v>
      </c>
      <c r="L11" s="12" t="s">
        <v>52</v>
      </c>
    </row>
    <row r="12" customFormat="false" ht="31.5" hidden="false" customHeight="true" outlineLevel="0" collapsed="false">
      <c r="A12" s="11" t="s">
        <v>47</v>
      </c>
      <c r="B12" s="12" t="s">
        <v>53</v>
      </c>
      <c r="C12" s="12" t="s">
        <v>54</v>
      </c>
      <c r="D12" s="12"/>
      <c r="E12" s="13" t="s">
        <v>16</v>
      </c>
      <c r="F12" s="13" t="s">
        <v>17</v>
      </c>
      <c r="G12" s="12"/>
      <c r="H12" s="12"/>
      <c r="I12" s="14" t="n">
        <v>0</v>
      </c>
      <c r="J12" s="12"/>
      <c r="K12" s="12" t="s">
        <v>55</v>
      </c>
      <c r="L12" s="12"/>
    </row>
    <row r="13" customFormat="false" ht="31.5" hidden="false" customHeight="true" outlineLevel="0" collapsed="false">
      <c r="A13" s="11" t="s">
        <v>47</v>
      </c>
      <c r="B13" s="12" t="s">
        <v>56</v>
      </c>
      <c r="C13" s="12" t="s">
        <v>57</v>
      </c>
      <c r="D13" s="12"/>
      <c r="E13" s="13" t="s">
        <v>16</v>
      </c>
      <c r="F13" s="13" t="s">
        <v>29</v>
      </c>
      <c r="G13" s="12"/>
      <c r="H13" s="12"/>
      <c r="I13" s="14" t="n">
        <v>0</v>
      </c>
      <c r="J13" s="12"/>
      <c r="K13" s="12" t="s">
        <v>58</v>
      </c>
      <c r="L13" s="12"/>
    </row>
    <row r="14" customFormat="false" ht="31.5" hidden="false" customHeight="true" outlineLevel="0" collapsed="false">
      <c r="A14" s="11" t="s">
        <v>47</v>
      </c>
      <c r="B14" s="12" t="s">
        <v>59</v>
      </c>
      <c r="C14" s="12" t="s">
        <v>60</v>
      </c>
      <c r="D14" s="12"/>
      <c r="E14" s="13" t="s">
        <v>16</v>
      </c>
      <c r="F14" s="13" t="s">
        <v>29</v>
      </c>
      <c r="G14" s="12"/>
      <c r="H14" s="12"/>
      <c r="I14" s="14" t="n">
        <v>0</v>
      </c>
      <c r="J14" s="12"/>
      <c r="K14" s="12" t="s">
        <v>61</v>
      </c>
      <c r="L14" s="12"/>
    </row>
    <row r="15" customFormat="false" ht="31.5" hidden="false" customHeight="true" outlineLevel="0" collapsed="false">
      <c r="A15" s="15" t="s">
        <v>62</v>
      </c>
      <c r="B15" s="16" t="s">
        <v>63</v>
      </c>
      <c r="C15" s="16" t="s">
        <v>64</v>
      </c>
      <c r="D15" s="16"/>
      <c r="E15" s="17" t="s">
        <v>16</v>
      </c>
      <c r="F15" s="17" t="s">
        <v>17</v>
      </c>
      <c r="G15" s="16"/>
      <c r="H15" s="16"/>
      <c r="I15" s="18" t="n">
        <v>0</v>
      </c>
      <c r="J15" s="16" t="s">
        <v>65</v>
      </c>
      <c r="K15" s="16" t="s">
        <v>66</v>
      </c>
      <c r="L15" s="16"/>
    </row>
    <row r="16" customFormat="false" ht="31.5" hidden="false" customHeight="true" outlineLevel="0" collapsed="false">
      <c r="A16" s="15" t="s">
        <v>62</v>
      </c>
      <c r="B16" s="16" t="s">
        <v>67</v>
      </c>
      <c r="C16" s="16" t="s">
        <v>68</v>
      </c>
      <c r="D16" s="16"/>
      <c r="E16" s="17" t="s">
        <v>16</v>
      </c>
      <c r="F16" s="17" t="s">
        <v>29</v>
      </c>
      <c r="G16" s="16"/>
      <c r="H16" s="16"/>
      <c r="I16" s="18" t="n">
        <v>0</v>
      </c>
      <c r="J16" s="16"/>
      <c r="K16" s="16" t="s">
        <v>69</v>
      </c>
      <c r="L16" s="16"/>
    </row>
    <row r="17" customFormat="false" ht="31.5" hidden="false" customHeight="true" outlineLevel="0" collapsed="false">
      <c r="A17" s="15" t="s">
        <v>62</v>
      </c>
      <c r="B17" s="16" t="s">
        <v>70</v>
      </c>
      <c r="C17" s="16" t="s">
        <v>71</v>
      </c>
      <c r="D17" s="16"/>
      <c r="E17" s="17" t="s">
        <v>16</v>
      </c>
      <c r="F17" s="17" t="s">
        <v>17</v>
      </c>
      <c r="G17" s="16"/>
      <c r="H17" s="16"/>
      <c r="I17" s="18" t="n">
        <v>0</v>
      </c>
      <c r="J17" s="16"/>
      <c r="K17" s="16" t="s">
        <v>72</v>
      </c>
      <c r="L17" s="16" t="s">
        <v>73</v>
      </c>
    </row>
    <row r="18" customFormat="false" ht="31.5" hidden="false" customHeight="true" outlineLevel="0" collapsed="false">
      <c r="A18" s="15" t="s">
        <v>62</v>
      </c>
      <c r="B18" s="16" t="s">
        <v>74</v>
      </c>
      <c r="C18" s="16" t="s">
        <v>75</v>
      </c>
      <c r="D18" s="16"/>
      <c r="E18" s="17" t="s">
        <v>16</v>
      </c>
      <c r="F18" s="17" t="s">
        <v>29</v>
      </c>
      <c r="G18" s="16"/>
      <c r="H18" s="16"/>
      <c r="I18" s="18" t="n">
        <v>0</v>
      </c>
      <c r="J18" s="16"/>
      <c r="K18" s="16" t="s">
        <v>76</v>
      </c>
      <c r="L18" s="16"/>
    </row>
    <row r="19" customFormat="false" ht="31.5" hidden="false" customHeight="true" outlineLevel="0" collapsed="false">
      <c r="A19" s="19" t="s">
        <v>77</v>
      </c>
      <c r="B19" s="20" t="s">
        <v>78</v>
      </c>
      <c r="C19" s="20" t="s">
        <v>79</v>
      </c>
      <c r="D19" s="20"/>
      <c r="E19" s="21" t="s">
        <v>16</v>
      </c>
      <c r="F19" s="21" t="s">
        <v>17</v>
      </c>
      <c r="G19" s="20"/>
      <c r="H19" s="20"/>
      <c r="I19" s="22" t="n">
        <v>0</v>
      </c>
      <c r="J19" s="20" t="s">
        <v>80</v>
      </c>
      <c r="K19" s="20" t="s">
        <v>81</v>
      </c>
      <c r="L19" s="20" t="s">
        <v>82</v>
      </c>
    </row>
    <row r="20" customFormat="false" ht="31.5" hidden="false" customHeight="true" outlineLevel="0" collapsed="false">
      <c r="A20" s="19" t="s">
        <v>77</v>
      </c>
      <c r="B20" s="20" t="s">
        <v>83</v>
      </c>
      <c r="C20" s="20" t="s">
        <v>84</v>
      </c>
      <c r="D20" s="20"/>
      <c r="E20" s="21" t="s">
        <v>16</v>
      </c>
      <c r="F20" s="21" t="s">
        <v>29</v>
      </c>
      <c r="G20" s="20"/>
      <c r="H20" s="20"/>
      <c r="I20" s="22" t="n">
        <v>0</v>
      </c>
      <c r="J20" s="20"/>
      <c r="K20" s="20" t="s">
        <v>85</v>
      </c>
      <c r="L20" s="20"/>
    </row>
    <row r="21" customFormat="false" ht="31.5" hidden="false" customHeight="true" outlineLevel="0" collapsed="false">
      <c r="A21" s="19" t="s">
        <v>77</v>
      </c>
      <c r="B21" s="20" t="s">
        <v>86</v>
      </c>
      <c r="C21" s="20" t="s">
        <v>87</v>
      </c>
      <c r="D21" s="20"/>
      <c r="E21" s="21" t="s">
        <v>16</v>
      </c>
      <c r="F21" s="21" t="s">
        <v>29</v>
      </c>
      <c r="G21" s="20"/>
      <c r="H21" s="20"/>
      <c r="I21" s="22" t="n">
        <v>0</v>
      </c>
      <c r="J21" s="20"/>
      <c r="K21" s="20" t="s">
        <v>88</v>
      </c>
      <c r="L21" s="20"/>
    </row>
    <row r="22" customFormat="false" ht="31.5" hidden="false" customHeight="true" outlineLevel="0" collapsed="false">
      <c r="A22" s="19" t="s">
        <v>77</v>
      </c>
      <c r="B22" s="20" t="s">
        <v>89</v>
      </c>
      <c r="C22" s="20" t="s">
        <v>90</v>
      </c>
      <c r="D22" s="20"/>
      <c r="E22" s="21" t="s">
        <v>16</v>
      </c>
      <c r="F22" s="21" t="s">
        <v>91</v>
      </c>
      <c r="G22" s="20"/>
      <c r="H22" s="20"/>
      <c r="I22" s="22" t="n">
        <v>0</v>
      </c>
      <c r="J22" s="20"/>
      <c r="K22" s="20" t="s">
        <v>92</v>
      </c>
      <c r="L22" s="20"/>
    </row>
    <row r="23" customFormat="false" ht="31.5" hidden="false" customHeight="true" outlineLevel="0" collapsed="false">
      <c r="A23" s="23" t="s">
        <v>93</v>
      </c>
      <c r="B23" s="24" t="s">
        <v>94</v>
      </c>
      <c r="C23" s="24" t="s">
        <v>95</v>
      </c>
      <c r="D23" s="24"/>
      <c r="E23" s="25" t="s">
        <v>16</v>
      </c>
      <c r="F23" s="25" t="s">
        <v>17</v>
      </c>
      <c r="G23" s="24"/>
      <c r="H23" s="24"/>
      <c r="I23" s="26" t="n">
        <v>0</v>
      </c>
      <c r="J23" s="24" t="s">
        <v>96</v>
      </c>
      <c r="K23" s="24" t="s">
        <v>97</v>
      </c>
      <c r="L23" s="24"/>
    </row>
    <row r="24" customFormat="false" ht="31.5" hidden="false" customHeight="true" outlineLevel="0" collapsed="false">
      <c r="A24" s="23" t="s">
        <v>93</v>
      </c>
      <c r="B24" s="24" t="s">
        <v>98</v>
      </c>
      <c r="C24" s="24" t="s">
        <v>99</v>
      </c>
      <c r="D24" s="24"/>
      <c r="E24" s="25" t="s">
        <v>16</v>
      </c>
      <c r="F24" s="25" t="s">
        <v>17</v>
      </c>
      <c r="G24" s="24"/>
      <c r="H24" s="24"/>
      <c r="I24" s="26" t="n">
        <v>0</v>
      </c>
      <c r="J24" s="24"/>
      <c r="K24" s="24" t="s">
        <v>100</v>
      </c>
      <c r="L24" s="24"/>
    </row>
    <row r="25" customFormat="false" ht="31.5" hidden="false" customHeight="true" outlineLevel="0" collapsed="false">
      <c r="A25" s="23" t="s">
        <v>93</v>
      </c>
      <c r="B25" s="24" t="s">
        <v>101</v>
      </c>
      <c r="C25" s="24" t="s">
        <v>102</v>
      </c>
      <c r="D25" s="24"/>
      <c r="E25" s="25" t="s">
        <v>16</v>
      </c>
      <c r="F25" s="25" t="s">
        <v>29</v>
      </c>
      <c r="G25" s="24"/>
      <c r="H25" s="24"/>
      <c r="I25" s="26" t="n">
        <v>0</v>
      </c>
      <c r="J25" s="24"/>
      <c r="K25" s="24" t="s">
        <v>103</v>
      </c>
      <c r="L25" s="24"/>
    </row>
    <row r="26" customFormat="false" ht="31.5" hidden="false" customHeight="true" outlineLevel="0" collapsed="false">
      <c r="A26" s="23" t="s">
        <v>93</v>
      </c>
      <c r="B26" s="24" t="s">
        <v>104</v>
      </c>
      <c r="C26" s="24" t="s">
        <v>105</v>
      </c>
      <c r="D26" s="24"/>
      <c r="E26" s="25" t="s">
        <v>16</v>
      </c>
      <c r="F26" s="25" t="s">
        <v>17</v>
      </c>
      <c r="G26" s="24"/>
      <c r="H26" s="24"/>
      <c r="I26" s="26" t="n">
        <v>0</v>
      </c>
      <c r="J26" s="24"/>
      <c r="K26" s="24" t="s">
        <v>106</v>
      </c>
      <c r="L26" s="24"/>
    </row>
    <row r="27" customFormat="false" ht="31.5" hidden="false" customHeight="true" outlineLevel="0" collapsed="false">
      <c r="A27" s="27" t="s">
        <v>107</v>
      </c>
      <c r="B27" s="28" t="s">
        <v>108</v>
      </c>
      <c r="C27" s="28" t="s">
        <v>109</v>
      </c>
      <c r="D27" s="28"/>
      <c r="E27" s="29" t="s">
        <v>16</v>
      </c>
      <c r="F27" s="29" t="s">
        <v>17</v>
      </c>
      <c r="G27" s="28"/>
      <c r="H27" s="28"/>
      <c r="I27" s="30" t="n">
        <v>0</v>
      </c>
      <c r="J27" s="28" t="s">
        <v>110</v>
      </c>
      <c r="K27" s="28" t="s">
        <v>111</v>
      </c>
      <c r="L27" s="28"/>
    </row>
    <row r="28" customFormat="false" ht="31.5" hidden="false" customHeight="true" outlineLevel="0" collapsed="false">
      <c r="A28" s="27" t="s">
        <v>107</v>
      </c>
      <c r="B28" s="28" t="s">
        <v>112</v>
      </c>
      <c r="C28" s="28" t="s">
        <v>113</v>
      </c>
      <c r="D28" s="28"/>
      <c r="E28" s="29" t="s">
        <v>16</v>
      </c>
      <c r="F28" s="29" t="s">
        <v>17</v>
      </c>
      <c r="G28" s="28"/>
      <c r="H28" s="28"/>
      <c r="I28" s="30" t="n">
        <v>0</v>
      </c>
      <c r="J28" s="28" t="s">
        <v>114</v>
      </c>
      <c r="K28" s="28" t="s">
        <v>115</v>
      </c>
      <c r="L28" s="28"/>
    </row>
    <row r="30" customFormat="false" ht="15" hidden="false" customHeight="false" outlineLevel="0" collapsed="false">
      <c r="A30" s="31" t="s">
        <v>116</v>
      </c>
      <c r="B30" s="31"/>
      <c r="C30" s="31"/>
      <c r="D30" s="31"/>
      <c r="E30" s="31"/>
      <c r="F30" s="31"/>
      <c r="G30" s="31"/>
      <c r="H30" s="31"/>
      <c r="I30" s="32" t="n">
        <f aca="false">AVERAGE(I3:I28)</f>
        <v>0</v>
      </c>
    </row>
  </sheetData>
  <mergeCells count="2">
    <mergeCell ref="A1:L1"/>
    <mergeCell ref="A30:H30"/>
  </mergeCells>
  <dataValidations count="2">
    <dataValidation allowBlank="true" error="Pick a valid status" errorStyle="stop" operator="between" showDropDown="false" showErrorMessage="false" showInputMessage="false" sqref="E3:E28" type="list">
      <formula1>"Not Started,In Progress,Blocked,In Review,Complete"</formula1>
      <formula2>0</formula2>
    </dataValidation>
    <dataValidation allowBlank="true" errorStyle="stop" operator="between" showDropDown="false" showErrorMessage="false" showInputMessage="false" sqref="F3:F2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7" min="7" style="0" width="16"/>
  </cols>
  <sheetData>
    <row r="1" customFormat="false" ht="36" hidden="false" customHeight="true" outlineLevel="0" collapsed="false">
      <c r="A1" s="33" t="s">
        <v>117</v>
      </c>
      <c r="B1" s="33"/>
      <c r="C1" s="33"/>
      <c r="D1" s="33"/>
      <c r="E1" s="33"/>
      <c r="F1" s="33"/>
      <c r="G1" s="33"/>
    </row>
    <row r="2" customFormat="false" ht="15" hidden="false" customHeight="false" outlineLevel="0" collapsed="false">
      <c r="A2" s="2" t="s">
        <v>1</v>
      </c>
      <c r="B2" s="2" t="s">
        <v>118</v>
      </c>
      <c r="C2" s="2" t="s">
        <v>16</v>
      </c>
      <c r="D2" s="2" t="s">
        <v>119</v>
      </c>
      <c r="E2" s="2" t="s">
        <v>120</v>
      </c>
      <c r="F2" s="2" t="s">
        <v>121</v>
      </c>
      <c r="G2" s="2" t="s">
        <v>122</v>
      </c>
    </row>
    <row r="3" customFormat="false" ht="25.5" hidden="false" customHeight="true" outlineLevel="0" collapsed="false">
      <c r="A3" s="34" t="s">
        <v>13</v>
      </c>
      <c r="B3" s="35" t="n">
        <f aca="false">COUNTIF('Pipeline Tracker'!A3:A28,"1. Data")</f>
        <v>4</v>
      </c>
      <c r="C3" s="35" t="n">
        <f aca="false">COUNTIFS('Pipeline Tracker'!A3:A28,"1. Data",'Pipeline Tracker'!E3:E28,"Not Started")</f>
        <v>4</v>
      </c>
      <c r="D3" s="35" t="n">
        <f aca="false">COUNTIFS('Pipeline Tracker'!A3:A28,"1. Data",'Pipeline Tracker'!E3:E28,"In Progress")</f>
        <v>0</v>
      </c>
      <c r="E3" s="35" t="n">
        <f aca="false">COUNTIFS('Pipeline Tracker'!A3:A28,"1. Data",'Pipeline Tracker'!E3:E28,"Complete")</f>
        <v>0</v>
      </c>
      <c r="F3" s="35" t="n">
        <f aca="false">COUNTIFS('Pipeline Tracker'!A3:A28,"1. Data",'Pipeline Tracker'!E3:E28,"Blocked")</f>
        <v>0</v>
      </c>
      <c r="G3" s="6" t="n">
        <f aca="false">IFERROR(E3/B3,0)</f>
        <v>0</v>
      </c>
    </row>
    <row r="4" customFormat="false" ht="25.5" hidden="false" customHeight="true" outlineLevel="0" collapsed="false">
      <c r="A4" s="36" t="s">
        <v>31</v>
      </c>
      <c r="B4" s="37" t="n">
        <f aca="false">COUNTIF('Pipeline Tracker'!A3:A28,"2. Sampling")</f>
        <v>4</v>
      </c>
      <c r="C4" s="37" t="n">
        <f aca="false">COUNTIFS('Pipeline Tracker'!A3:A28,"2. Sampling",'Pipeline Tracker'!E3:E28,"Not Started")</f>
        <v>4</v>
      </c>
      <c r="D4" s="37" t="n">
        <f aca="false">COUNTIFS('Pipeline Tracker'!A3:A28,"2. Sampling",'Pipeline Tracker'!E3:E28,"In Progress")</f>
        <v>0</v>
      </c>
      <c r="E4" s="37" t="n">
        <f aca="false">COUNTIFS('Pipeline Tracker'!A3:A28,"2. Sampling",'Pipeline Tracker'!E3:E28,"Complete")</f>
        <v>0</v>
      </c>
      <c r="F4" s="37" t="n">
        <f aca="false">COUNTIFS('Pipeline Tracker'!A3:A28,"2. Sampling",'Pipeline Tracker'!E3:E28,"Blocked")</f>
        <v>0</v>
      </c>
      <c r="G4" s="10" t="n">
        <f aca="false">IFERROR(E4/B4,0)</f>
        <v>0</v>
      </c>
    </row>
    <row r="5" customFormat="false" ht="25.5" hidden="false" customHeight="true" outlineLevel="0" collapsed="false">
      <c r="A5" s="38" t="s">
        <v>47</v>
      </c>
      <c r="B5" s="39" t="n">
        <f aca="false">COUNTIF('Pipeline Tracker'!A3:A28,"3. Inclusion Criteria")</f>
        <v>4</v>
      </c>
      <c r="C5" s="39" t="n">
        <f aca="false">COUNTIFS('Pipeline Tracker'!A3:A28,"3. Inclusion Criteria",'Pipeline Tracker'!E3:E28,"Not Started")</f>
        <v>4</v>
      </c>
      <c r="D5" s="39" t="n">
        <f aca="false">COUNTIFS('Pipeline Tracker'!A3:A28,"3. Inclusion Criteria",'Pipeline Tracker'!E3:E28,"In Progress")</f>
        <v>0</v>
      </c>
      <c r="E5" s="39" t="n">
        <f aca="false">COUNTIFS('Pipeline Tracker'!A3:A28,"3. Inclusion Criteria",'Pipeline Tracker'!E3:E28,"Complete")</f>
        <v>0</v>
      </c>
      <c r="F5" s="39" t="n">
        <f aca="false">COUNTIFS('Pipeline Tracker'!A3:A28,"3. Inclusion Criteria",'Pipeline Tracker'!E3:E28,"Blocked")</f>
        <v>0</v>
      </c>
      <c r="G5" s="14" t="n">
        <f aca="false">IFERROR(E5/B5,0)</f>
        <v>0</v>
      </c>
    </row>
    <row r="6" customFormat="false" ht="25.5" hidden="false" customHeight="true" outlineLevel="0" collapsed="false">
      <c r="A6" s="40" t="s">
        <v>62</v>
      </c>
      <c r="B6" s="41" t="n">
        <f aca="false">COUNTIF('Pipeline Tracker'!A3:A28,"4. EDA")</f>
        <v>4</v>
      </c>
      <c r="C6" s="41" t="n">
        <f aca="false">COUNTIFS('Pipeline Tracker'!A3:A28,"4. EDA",'Pipeline Tracker'!E3:E28,"Not Started")</f>
        <v>4</v>
      </c>
      <c r="D6" s="41" t="n">
        <f aca="false">COUNTIFS('Pipeline Tracker'!A3:A28,"4. EDA",'Pipeline Tracker'!E3:E28,"In Progress")</f>
        <v>0</v>
      </c>
      <c r="E6" s="41" t="n">
        <f aca="false">COUNTIFS('Pipeline Tracker'!A3:A28,"4. EDA",'Pipeline Tracker'!E3:E28,"Complete")</f>
        <v>0</v>
      </c>
      <c r="F6" s="41" t="n">
        <f aca="false">COUNTIFS('Pipeline Tracker'!A3:A28,"4. EDA",'Pipeline Tracker'!E3:E28,"Blocked")</f>
        <v>0</v>
      </c>
      <c r="G6" s="18" t="n">
        <f aca="false">IFERROR(E6/B6,0)</f>
        <v>0</v>
      </c>
    </row>
    <row r="7" customFormat="false" ht="25.5" hidden="false" customHeight="true" outlineLevel="0" collapsed="false">
      <c r="A7" s="42" t="s">
        <v>77</v>
      </c>
      <c r="B7" s="43" t="n">
        <f aca="false">COUNTIF('Pipeline Tracker'!A3:A28,"5. Benchmarks")</f>
        <v>4</v>
      </c>
      <c r="C7" s="43" t="n">
        <f aca="false">COUNTIFS('Pipeline Tracker'!A3:A28,"5. Benchmarks",'Pipeline Tracker'!E3:E28,"Not Started")</f>
        <v>4</v>
      </c>
      <c r="D7" s="43" t="n">
        <f aca="false">COUNTIFS('Pipeline Tracker'!A3:A28,"5. Benchmarks",'Pipeline Tracker'!E3:E28,"In Progress")</f>
        <v>0</v>
      </c>
      <c r="E7" s="43" t="n">
        <f aca="false">COUNTIFS('Pipeline Tracker'!A3:A28,"5. Benchmarks",'Pipeline Tracker'!E3:E28,"Complete")</f>
        <v>0</v>
      </c>
      <c r="F7" s="43" t="n">
        <f aca="false">COUNTIFS('Pipeline Tracker'!A3:A28,"5. Benchmarks",'Pipeline Tracker'!E3:E28,"Blocked")</f>
        <v>0</v>
      </c>
      <c r="G7" s="22" t="n">
        <f aca="false">IFERROR(E7/B7,0)</f>
        <v>0</v>
      </c>
    </row>
    <row r="8" customFormat="false" ht="25.5" hidden="false" customHeight="true" outlineLevel="0" collapsed="false">
      <c r="A8" s="44" t="s">
        <v>93</v>
      </c>
      <c r="B8" s="45" t="n">
        <f aca="false">COUNTIF('Pipeline Tracker'!A3:A28,"6. Reporting")</f>
        <v>4</v>
      </c>
      <c r="C8" s="45" t="n">
        <f aca="false">COUNTIFS('Pipeline Tracker'!A3:A28,"6. Reporting",'Pipeline Tracker'!E3:E28,"Not Started")</f>
        <v>4</v>
      </c>
      <c r="D8" s="45" t="n">
        <f aca="false">COUNTIFS('Pipeline Tracker'!A3:A28,"6. Reporting",'Pipeline Tracker'!E3:E28,"In Progress")</f>
        <v>0</v>
      </c>
      <c r="E8" s="45" t="n">
        <f aca="false">COUNTIFS('Pipeline Tracker'!A3:A28,"6. Reporting",'Pipeline Tracker'!E3:E28,"Complete")</f>
        <v>0</v>
      </c>
      <c r="F8" s="45" t="n">
        <f aca="false">COUNTIFS('Pipeline Tracker'!A3:A28,"6. Reporting",'Pipeline Tracker'!E3:E28,"Blocked")</f>
        <v>0</v>
      </c>
      <c r="G8" s="26" t="n">
        <f aca="false">IFERROR(E8/B8,0)</f>
        <v>0</v>
      </c>
    </row>
    <row r="9" customFormat="false" ht="25.5" hidden="false" customHeight="true" outlineLevel="0" collapsed="false">
      <c r="A9" s="46" t="s">
        <v>107</v>
      </c>
      <c r="B9" s="47" t="n">
        <f aca="false">COUNTIF('Pipeline Tracker'!A3:A28,"7. Sign-Off")</f>
        <v>2</v>
      </c>
      <c r="C9" s="47" t="n">
        <f aca="false">COUNTIFS('Pipeline Tracker'!A3:A28,"7. Sign-Off",'Pipeline Tracker'!E3:E28,"Not Started")</f>
        <v>2</v>
      </c>
      <c r="D9" s="47" t="n">
        <f aca="false">COUNTIFS('Pipeline Tracker'!A3:A28,"7. Sign-Off",'Pipeline Tracker'!E3:E28,"In Progress")</f>
        <v>0</v>
      </c>
      <c r="E9" s="47" t="n">
        <f aca="false">COUNTIFS('Pipeline Tracker'!A3:A28,"7. Sign-Off",'Pipeline Tracker'!E3:E28,"Complete")</f>
        <v>0</v>
      </c>
      <c r="F9" s="47" t="n">
        <f aca="false">COUNTIFS('Pipeline Tracker'!A3:A28,"7. Sign-Off",'Pipeline Tracker'!E3:E28,"Blocked")</f>
        <v>0</v>
      </c>
      <c r="G9" s="30" t="n">
        <f aca="false">IFERROR(E9/B9,0)</f>
        <v>0</v>
      </c>
    </row>
    <row r="10" customFormat="false" ht="15" hidden="false" customHeight="false" outlineLevel="0" collapsed="false">
      <c r="A10" s="48" t="s">
        <v>123</v>
      </c>
      <c r="B10" s="49" t="n">
        <f aca="false">SUM(B3:B9)</f>
        <v>26</v>
      </c>
      <c r="C10" s="49" t="n">
        <f aca="false">SUM(C3:C9)</f>
        <v>26</v>
      </c>
      <c r="D10" s="49" t="n">
        <f aca="false">SUM(D3:D9)</f>
        <v>0</v>
      </c>
      <c r="E10" s="49" t="n">
        <f aca="false">SUM(E3:E9)</f>
        <v>0</v>
      </c>
      <c r="F10" s="49" t="n">
        <f aca="false">SUM(F3:F9)</f>
        <v>0</v>
      </c>
      <c r="G10" s="50" t="n">
        <f aca="false">IFERROR(E10/B10,0)</f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23B72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6" hidden="false" customHeight="true" outlineLevel="0" collapsed="false">
      <c r="A1" s="33" t="s">
        <v>124</v>
      </c>
      <c r="B1" s="33"/>
      <c r="C1" s="33"/>
      <c r="D1" s="33"/>
      <c r="E1" s="33"/>
      <c r="F1" s="33"/>
      <c r="G1" s="33"/>
      <c r="H1" s="33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125</v>
      </c>
      <c r="D2" s="2" t="s">
        <v>126</v>
      </c>
      <c r="E2" s="2" t="s">
        <v>127</v>
      </c>
      <c r="F2" s="2" t="s">
        <v>128</v>
      </c>
      <c r="G2" s="2" t="s">
        <v>129</v>
      </c>
      <c r="H2" s="2" t="s">
        <v>130</v>
      </c>
    </row>
    <row r="3" customFormat="false" ht="25.5" hidden="false" customHeight="true" outlineLevel="0" collapsed="false">
      <c r="A3" s="34" t="s">
        <v>13</v>
      </c>
      <c r="B3" s="35" t="s">
        <v>14</v>
      </c>
      <c r="C3" s="51"/>
      <c r="D3" s="51"/>
      <c r="E3" s="51"/>
      <c r="F3" s="51"/>
      <c r="G3" s="51"/>
      <c r="H3" s="51"/>
    </row>
    <row r="4" customFormat="false" ht="25.5" hidden="false" customHeight="true" outlineLevel="0" collapsed="false">
      <c r="A4" s="34" t="s">
        <v>13</v>
      </c>
      <c r="B4" s="35" t="s">
        <v>19</v>
      </c>
      <c r="C4" s="51"/>
      <c r="D4" s="51"/>
      <c r="E4" s="51"/>
      <c r="F4" s="51"/>
      <c r="G4" s="51"/>
      <c r="H4" s="51"/>
    </row>
    <row r="5" customFormat="false" ht="25.5" hidden="false" customHeight="true" outlineLevel="0" collapsed="false">
      <c r="A5" s="34" t="s">
        <v>13</v>
      </c>
      <c r="B5" s="35" t="s">
        <v>23</v>
      </c>
      <c r="C5" s="51"/>
      <c r="D5" s="51"/>
      <c r="E5" s="51"/>
      <c r="F5" s="51"/>
      <c r="G5" s="51"/>
      <c r="H5" s="51"/>
    </row>
    <row r="6" customFormat="false" ht="25.5" hidden="false" customHeight="true" outlineLevel="0" collapsed="false">
      <c r="A6" s="34" t="s">
        <v>13</v>
      </c>
      <c r="B6" s="35" t="s">
        <v>27</v>
      </c>
      <c r="C6" s="51"/>
      <c r="D6" s="51"/>
      <c r="E6" s="51"/>
      <c r="F6" s="51"/>
      <c r="G6" s="51"/>
      <c r="H6" s="51"/>
    </row>
    <row r="7" customFormat="false" ht="25.5" hidden="false" customHeight="true" outlineLevel="0" collapsed="false">
      <c r="A7" s="36" t="s">
        <v>31</v>
      </c>
      <c r="B7" s="37" t="s">
        <v>32</v>
      </c>
      <c r="C7" s="52"/>
      <c r="D7" s="52"/>
      <c r="E7" s="52"/>
      <c r="F7" s="52"/>
      <c r="G7" s="52"/>
      <c r="H7" s="52"/>
    </row>
    <row r="8" customFormat="false" ht="25.5" hidden="false" customHeight="true" outlineLevel="0" collapsed="false">
      <c r="A8" s="36" t="s">
        <v>31</v>
      </c>
      <c r="B8" s="37" t="s">
        <v>36</v>
      </c>
      <c r="C8" s="52"/>
      <c r="D8" s="52"/>
      <c r="E8" s="52"/>
      <c r="F8" s="52"/>
      <c r="G8" s="52"/>
      <c r="H8" s="52"/>
    </row>
    <row r="9" customFormat="false" ht="25.5" hidden="false" customHeight="true" outlineLevel="0" collapsed="false">
      <c r="A9" s="36" t="s">
        <v>31</v>
      </c>
      <c r="B9" s="37" t="s">
        <v>39</v>
      </c>
      <c r="C9" s="52"/>
      <c r="D9" s="52"/>
      <c r="E9" s="52"/>
      <c r="F9" s="52"/>
      <c r="G9" s="52"/>
      <c r="H9" s="52"/>
    </row>
    <row r="10" customFormat="false" ht="25.5" hidden="false" customHeight="true" outlineLevel="0" collapsed="false">
      <c r="A10" s="36" t="s">
        <v>31</v>
      </c>
      <c r="B10" s="37" t="s">
        <v>44</v>
      </c>
      <c r="C10" s="52"/>
      <c r="D10" s="52"/>
      <c r="E10" s="52"/>
      <c r="F10" s="52"/>
      <c r="G10" s="52"/>
      <c r="H10" s="52"/>
    </row>
    <row r="11" customFormat="false" ht="25.5" hidden="false" customHeight="true" outlineLevel="0" collapsed="false">
      <c r="A11" s="38" t="s">
        <v>47</v>
      </c>
      <c r="B11" s="39" t="s">
        <v>48</v>
      </c>
      <c r="C11" s="53"/>
      <c r="D11" s="53"/>
      <c r="E11" s="53"/>
      <c r="F11" s="53"/>
      <c r="G11" s="53"/>
      <c r="H11" s="53"/>
    </row>
    <row r="12" customFormat="false" ht="25.5" hidden="false" customHeight="true" outlineLevel="0" collapsed="false">
      <c r="A12" s="38" t="s">
        <v>47</v>
      </c>
      <c r="B12" s="39" t="s">
        <v>53</v>
      </c>
      <c r="C12" s="53"/>
      <c r="D12" s="53"/>
      <c r="E12" s="53"/>
      <c r="F12" s="53"/>
      <c r="G12" s="53"/>
      <c r="H12" s="53"/>
    </row>
    <row r="13" customFormat="false" ht="25.5" hidden="false" customHeight="true" outlineLevel="0" collapsed="false">
      <c r="A13" s="38" t="s">
        <v>47</v>
      </c>
      <c r="B13" s="39" t="s">
        <v>56</v>
      </c>
      <c r="C13" s="53"/>
      <c r="D13" s="53"/>
      <c r="E13" s="53"/>
      <c r="F13" s="53"/>
      <c r="G13" s="53"/>
      <c r="H13" s="53"/>
    </row>
    <row r="14" customFormat="false" ht="25.5" hidden="false" customHeight="true" outlineLevel="0" collapsed="false">
      <c r="A14" s="38" t="s">
        <v>47</v>
      </c>
      <c r="B14" s="39" t="s">
        <v>59</v>
      </c>
      <c r="C14" s="53"/>
      <c r="D14" s="53"/>
      <c r="E14" s="53"/>
      <c r="F14" s="53"/>
      <c r="G14" s="53"/>
      <c r="H14" s="53"/>
    </row>
    <row r="15" customFormat="false" ht="25.5" hidden="false" customHeight="true" outlineLevel="0" collapsed="false">
      <c r="A15" s="40" t="s">
        <v>62</v>
      </c>
      <c r="B15" s="41" t="s">
        <v>63</v>
      </c>
      <c r="C15" s="54"/>
      <c r="D15" s="54"/>
      <c r="E15" s="54"/>
      <c r="F15" s="54"/>
      <c r="G15" s="54"/>
      <c r="H15" s="54"/>
    </row>
    <row r="16" customFormat="false" ht="25.5" hidden="false" customHeight="true" outlineLevel="0" collapsed="false">
      <c r="A16" s="40" t="s">
        <v>62</v>
      </c>
      <c r="B16" s="41" t="s">
        <v>67</v>
      </c>
      <c r="C16" s="54"/>
      <c r="D16" s="54"/>
      <c r="E16" s="54"/>
      <c r="F16" s="54"/>
      <c r="G16" s="54"/>
      <c r="H16" s="54"/>
    </row>
    <row r="17" customFormat="false" ht="25.5" hidden="false" customHeight="true" outlineLevel="0" collapsed="false">
      <c r="A17" s="40" t="s">
        <v>62</v>
      </c>
      <c r="B17" s="41" t="s">
        <v>70</v>
      </c>
      <c r="C17" s="54"/>
      <c r="D17" s="54"/>
      <c r="E17" s="54"/>
      <c r="F17" s="54"/>
      <c r="G17" s="54"/>
      <c r="H17" s="54"/>
    </row>
    <row r="18" customFormat="false" ht="25.5" hidden="false" customHeight="true" outlineLevel="0" collapsed="false">
      <c r="A18" s="40" t="s">
        <v>62</v>
      </c>
      <c r="B18" s="41" t="s">
        <v>74</v>
      </c>
      <c r="C18" s="54"/>
      <c r="D18" s="54"/>
      <c r="E18" s="54"/>
      <c r="F18" s="54"/>
      <c r="G18" s="54"/>
      <c r="H18" s="54"/>
    </row>
    <row r="19" customFormat="false" ht="25.5" hidden="false" customHeight="true" outlineLevel="0" collapsed="false">
      <c r="A19" s="42" t="s">
        <v>77</v>
      </c>
      <c r="B19" s="43" t="s">
        <v>78</v>
      </c>
      <c r="C19" s="55"/>
      <c r="D19" s="55"/>
      <c r="E19" s="55"/>
      <c r="F19" s="55"/>
      <c r="G19" s="55"/>
      <c r="H19" s="55"/>
    </row>
    <row r="20" customFormat="false" ht="25.5" hidden="false" customHeight="true" outlineLevel="0" collapsed="false">
      <c r="A20" s="42" t="s">
        <v>77</v>
      </c>
      <c r="B20" s="43" t="s">
        <v>83</v>
      </c>
      <c r="C20" s="55"/>
      <c r="D20" s="55"/>
      <c r="E20" s="55"/>
      <c r="F20" s="55"/>
      <c r="G20" s="55"/>
      <c r="H20" s="55"/>
    </row>
    <row r="21" customFormat="false" ht="25.5" hidden="false" customHeight="true" outlineLevel="0" collapsed="false">
      <c r="A21" s="42" t="s">
        <v>77</v>
      </c>
      <c r="B21" s="43" t="s">
        <v>86</v>
      </c>
      <c r="C21" s="55"/>
      <c r="D21" s="55"/>
      <c r="E21" s="55"/>
      <c r="F21" s="55"/>
      <c r="G21" s="55"/>
      <c r="H21" s="55"/>
    </row>
    <row r="22" customFormat="false" ht="25.5" hidden="false" customHeight="true" outlineLevel="0" collapsed="false">
      <c r="A22" s="42" t="s">
        <v>77</v>
      </c>
      <c r="B22" s="43" t="s">
        <v>89</v>
      </c>
      <c r="C22" s="55"/>
      <c r="D22" s="55"/>
      <c r="E22" s="55"/>
      <c r="F22" s="55"/>
      <c r="G22" s="55"/>
      <c r="H22" s="55"/>
    </row>
    <row r="23" customFormat="false" ht="25.5" hidden="false" customHeight="true" outlineLevel="0" collapsed="false">
      <c r="A23" s="44" t="s">
        <v>93</v>
      </c>
      <c r="B23" s="45" t="s">
        <v>94</v>
      </c>
      <c r="C23" s="56"/>
      <c r="D23" s="56"/>
      <c r="E23" s="56"/>
      <c r="F23" s="56"/>
      <c r="G23" s="56"/>
      <c r="H23" s="56"/>
    </row>
    <row r="24" customFormat="false" ht="25.5" hidden="false" customHeight="true" outlineLevel="0" collapsed="false">
      <c r="A24" s="44" t="s">
        <v>93</v>
      </c>
      <c r="B24" s="45" t="s">
        <v>98</v>
      </c>
      <c r="C24" s="56"/>
      <c r="D24" s="56"/>
      <c r="E24" s="56"/>
      <c r="F24" s="56"/>
      <c r="G24" s="56"/>
      <c r="H24" s="56"/>
    </row>
    <row r="25" customFormat="false" ht="25.5" hidden="false" customHeight="true" outlineLevel="0" collapsed="false">
      <c r="A25" s="44" t="s">
        <v>93</v>
      </c>
      <c r="B25" s="45" t="s">
        <v>101</v>
      </c>
      <c r="C25" s="56"/>
      <c r="D25" s="56"/>
      <c r="E25" s="56"/>
      <c r="F25" s="56"/>
      <c r="G25" s="56"/>
      <c r="H25" s="56"/>
    </row>
    <row r="26" customFormat="false" ht="25.5" hidden="false" customHeight="true" outlineLevel="0" collapsed="false">
      <c r="A26" s="44" t="s">
        <v>93</v>
      </c>
      <c r="B26" s="45" t="s">
        <v>104</v>
      </c>
      <c r="C26" s="56"/>
      <c r="D26" s="56"/>
      <c r="E26" s="56"/>
      <c r="F26" s="56"/>
      <c r="G26" s="56"/>
      <c r="H26" s="56"/>
    </row>
    <row r="27" customFormat="false" ht="25.5" hidden="false" customHeight="true" outlineLevel="0" collapsed="false">
      <c r="A27" s="46" t="s">
        <v>107</v>
      </c>
      <c r="B27" s="47" t="s">
        <v>108</v>
      </c>
      <c r="C27" s="57"/>
      <c r="D27" s="57"/>
      <c r="E27" s="57"/>
      <c r="F27" s="57"/>
      <c r="G27" s="57"/>
      <c r="H27" s="57"/>
    </row>
    <row r="28" customFormat="false" ht="25.5" hidden="false" customHeight="true" outlineLevel="0" collapsed="false">
      <c r="A28" s="46" t="s">
        <v>107</v>
      </c>
      <c r="B28" s="47" t="s">
        <v>112</v>
      </c>
      <c r="C28" s="57"/>
      <c r="D28" s="57"/>
      <c r="E28" s="57"/>
      <c r="F28" s="57"/>
      <c r="G28" s="57"/>
      <c r="H28" s="57"/>
    </row>
  </sheetData>
  <mergeCells count="1">
    <mergeCell ref="A1:H1"/>
  </mergeCells>
  <dataValidations count="1">
    <dataValidation allowBlank="true" error="Use R, A, C, or I" errorStyle="stop" operator="between" showDropDown="false" showErrorMessage="false" showInputMessage="false" sqref="C3:H28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3E1D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6" min="4" style="0" width="14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36" hidden="false" customHeight="true" outlineLevel="0" collapsed="false">
      <c r="A1" s="33" t="s">
        <v>131</v>
      </c>
      <c r="B1" s="33"/>
      <c r="C1" s="33"/>
      <c r="D1" s="33"/>
      <c r="E1" s="33"/>
      <c r="F1" s="33"/>
      <c r="G1" s="33"/>
      <c r="H1" s="33"/>
    </row>
    <row r="2" customFormat="false" ht="15" hidden="false" customHeight="false" outlineLevel="0" collapsed="false">
      <c r="A2" s="2" t="s">
        <v>132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4</v>
      </c>
    </row>
    <row r="3" customFormat="false" ht="39.75" hidden="false" customHeight="true" outlineLevel="0" collapsed="false">
      <c r="A3" s="58" t="s">
        <v>139</v>
      </c>
      <c r="B3" s="58" t="s">
        <v>13</v>
      </c>
      <c r="C3" s="59" t="s">
        <v>140</v>
      </c>
      <c r="D3" s="58" t="s">
        <v>29</v>
      </c>
      <c r="E3" s="58" t="s">
        <v>17</v>
      </c>
      <c r="F3" s="58" t="str">
        <f aca="false">IFERROR(IF(AND(D3="High",E3="High"),"Critical",IF(OR(D3="High",E3="High"),"High","Medium")),"")</f>
        <v>High</v>
      </c>
      <c r="G3" s="59" t="s">
        <v>141</v>
      </c>
      <c r="H3" s="58"/>
    </row>
    <row r="4" customFormat="false" ht="39.75" hidden="false" customHeight="true" outlineLevel="0" collapsed="false">
      <c r="A4" s="58" t="s">
        <v>142</v>
      </c>
      <c r="B4" s="58" t="s">
        <v>31</v>
      </c>
      <c r="C4" s="59" t="s">
        <v>143</v>
      </c>
      <c r="D4" s="58" t="s">
        <v>17</v>
      </c>
      <c r="E4" s="58" t="s">
        <v>17</v>
      </c>
      <c r="F4" s="58" t="str">
        <f aca="false">IFERROR(IF(AND(D4="High",E4="High"),"Critical",IF(OR(D4="High",E4="High"),"High","Medium")),"")</f>
        <v>Critical</v>
      </c>
      <c r="G4" s="59" t="s">
        <v>144</v>
      </c>
      <c r="H4" s="58"/>
    </row>
    <row r="5" customFormat="false" ht="39.75" hidden="false" customHeight="true" outlineLevel="0" collapsed="false">
      <c r="A5" s="58" t="s">
        <v>145</v>
      </c>
      <c r="B5" s="58" t="s">
        <v>47</v>
      </c>
      <c r="C5" s="59" t="s">
        <v>146</v>
      </c>
      <c r="D5" s="58" t="s">
        <v>29</v>
      </c>
      <c r="E5" s="58" t="s">
        <v>29</v>
      </c>
      <c r="F5" s="58" t="str">
        <f aca="false">IFERROR(IF(AND(D5="High",E5="High"),"Critical",IF(OR(D5="High",E5="High"),"High","Medium")),"")</f>
        <v>Medium</v>
      </c>
      <c r="G5" s="59" t="s">
        <v>147</v>
      </c>
      <c r="H5" s="58"/>
    </row>
    <row r="6" customFormat="false" ht="39.75" hidden="false" customHeight="true" outlineLevel="0" collapsed="false">
      <c r="A6" s="58" t="s">
        <v>148</v>
      </c>
      <c r="B6" s="58" t="s">
        <v>62</v>
      </c>
      <c r="C6" s="59" t="s">
        <v>149</v>
      </c>
      <c r="D6" s="58" t="s">
        <v>29</v>
      </c>
      <c r="E6" s="58" t="s">
        <v>17</v>
      </c>
      <c r="F6" s="58" t="str">
        <f aca="false">IFERROR(IF(AND(D6="High",E6="High"),"Critical",IF(OR(D6="High",E6="High"),"High","Medium")),"")</f>
        <v>High</v>
      </c>
      <c r="G6" s="59" t="s">
        <v>150</v>
      </c>
      <c r="H6" s="58"/>
    </row>
    <row r="7" customFormat="false" ht="39.75" hidden="false" customHeight="true" outlineLevel="0" collapsed="false">
      <c r="A7" s="58" t="s">
        <v>151</v>
      </c>
      <c r="B7" s="58" t="s">
        <v>77</v>
      </c>
      <c r="C7" s="59" t="s">
        <v>152</v>
      </c>
      <c r="D7" s="58" t="s">
        <v>17</v>
      </c>
      <c r="E7" s="58" t="s">
        <v>17</v>
      </c>
      <c r="F7" s="58" t="str">
        <f aca="false">IFERROR(IF(AND(D7="High",E7="High"),"Critical",IF(OR(D7="High",E7="High"),"High","Medium")),"")</f>
        <v>Critical</v>
      </c>
      <c r="G7" s="59" t="s">
        <v>153</v>
      </c>
      <c r="H7" s="58"/>
    </row>
    <row r="8" customFormat="false" ht="39.75" hidden="false" customHeight="true" outlineLevel="0" collapsed="false">
      <c r="A8" s="58" t="s">
        <v>154</v>
      </c>
      <c r="B8" s="58" t="s">
        <v>93</v>
      </c>
      <c r="C8" s="59" t="s">
        <v>155</v>
      </c>
      <c r="D8" s="58" t="s">
        <v>91</v>
      </c>
      <c r="E8" s="58" t="s">
        <v>17</v>
      </c>
      <c r="F8" s="58" t="str">
        <f aca="false">IFERROR(IF(AND(D8="High",E8="High"),"Critical",IF(OR(D8="High",E8="High"),"High","Medium")),"")</f>
        <v>High</v>
      </c>
      <c r="G8" s="59" t="s">
        <v>156</v>
      </c>
      <c r="H8" s="58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D3:E20" type="list">
      <formula1>"Low,Medium,High"</formula1>
      <formula2>0</formula2>
    </dataValidation>
    <dataValidation allowBlank="true" errorStyle="stop" operator="between" showDropDown="false" showErrorMessage="false" showInputMessage="false" sqref="B3:B20" type="list">
      <formula1>"1. Data,2. Sampling,3. Inclusion Criteria,4. EDA,5. Benchmarks,6. Reporting,7. Sign-Off"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2026-03-19T21:49:54Z</dcterms:created>
  <dc:creator>openpyxl</dc:creator>
  <dc:description/>
  <dc:language>en-US</dc:language>
  <cp:lastModifiedBy/>
  <dcterms:modified xsi:type="dcterms:W3CDTF">2026-03-19T21:49:54Z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